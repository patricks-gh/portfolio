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Dev\portfolio\DataEngineering\finance_reports\"/>
    </mc:Choice>
  </mc:AlternateContent>
  <bookViews>
    <workbookView xWindow="0" yWindow="0" windowWidth="38400" windowHeight="17715"/>
  </bookViews>
  <sheets>
    <sheet name="actuals" sheetId="1" r:id="rId1"/>
    <sheet name="targets" sheetId="2" r:id="rId2"/>
  </sheets>
  <calcPr calcId="152511"/>
</workbook>
</file>

<file path=xl/calcChain.xml><?xml version="1.0" encoding="utf-8"?>
<calcChain xmlns="http://schemas.openxmlformats.org/spreadsheetml/2006/main">
  <c r="B3" i="2" l="1"/>
  <c r="B4" i="2"/>
  <c r="B5" i="2"/>
  <c r="B2" i="2"/>
  <c r="C5" i="2"/>
  <c r="D4" i="2"/>
  <c r="E4" i="2" s="1"/>
  <c r="F4" i="2" s="1"/>
  <c r="D3" i="2"/>
  <c r="E3" i="2" s="1"/>
  <c r="F3" i="2" s="1"/>
  <c r="D2" i="2"/>
  <c r="D5" i="2" s="1"/>
  <c r="C5" i="1"/>
  <c r="B2" i="1"/>
  <c r="B23" i="1"/>
  <c r="B22" i="1"/>
  <c r="B21" i="1"/>
  <c r="B18" i="1"/>
  <c r="B17" i="1"/>
  <c r="B16" i="1"/>
  <c r="B15" i="1"/>
  <c r="B9" i="1"/>
  <c r="B8" i="1"/>
  <c r="B7" i="1"/>
  <c r="B3" i="1"/>
  <c r="B4" i="1"/>
  <c r="D24" i="1"/>
  <c r="E24" i="1"/>
  <c r="F24" i="1"/>
  <c r="C24" i="1"/>
  <c r="B24" i="1" s="1"/>
  <c r="D10" i="1"/>
  <c r="E10" i="1"/>
  <c r="F10" i="1"/>
  <c r="C10" i="1"/>
  <c r="B10" i="1" l="1"/>
  <c r="E2" i="2"/>
  <c r="F5" i="1"/>
  <c r="E5" i="1"/>
  <c r="E12" i="1" s="1"/>
  <c r="E13" i="1" s="1"/>
  <c r="D5" i="1"/>
  <c r="D12" i="1" s="1"/>
  <c r="D13" i="1" s="1"/>
  <c r="B5" i="1"/>
  <c r="E19" i="1"/>
  <c r="E26" i="1" s="1"/>
  <c r="C12" i="1"/>
  <c r="D19" i="1"/>
  <c r="D26" i="1" s="1"/>
  <c r="F12" i="1"/>
  <c r="F2" i="2" l="1"/>
  <c r="F5" i="2" s="1"/>
  <c r="E5" i="2"/>
  <c r="F13" i="1"/>
  <c r="F19" i="1"/>
  <c r="F26" i="1" s="1"/>
  <c r="C13" i="1"/>
  <c r="B13" i="1" s="1"/>
  <c r="C19" i="1"/>
  <c r="B12" i="1"/>
  <c r="B19" i="1" l="1"/>
  <c r="C26" i="1"/>
  <c r="B26" i="1" s="1"/>
</calcChain>
</file>

<file path=xl/sharedStrings.xml><?xml version="1.0" encoding="utf-8"?>
<sst xmlns="http://schemas.openxmlformats.org/spreadsheetml/2006/main" count="27" uniqueCount="22">
  <si>
    <t>Metric</t>
  </si>
  <si>
    <t>Product Revenue</t>
  </si>
  <si>
    <t>Service Revenue</t>
  </si>
  <si>
    <t>Other Revenue</t>
  </si>
  <si>
    <t>Total Revenue</t>
  </si>
  <si>
    <t>Cost of Product Sales</t>
  </si>
  <si>
    <t>Cost of Services</t>
  </si>
  <si>
    <t>Logistics / Fulfillment</t>
  </si>
  <si>
    <t>Total COGS</t>
  </si>
  <si>
    <t>SG&amp;A</t>
  </si>
  <si>
    <t>R&amp;D</t>
  </si>
  <si>
    <t>Marketing</t>
  </si>
  <si>
    <t>Total Operating Expenses</t>
  </si>
  <si>
    <t>Interest Income</t>
  </si>
  <si>
    <t>Interest Expense</t>
  </si>
  <si>
    <t>Net Other Income</t>
  </si>
  <si>
    <t>Net Income</t>
  </si>
  <si>
    <t>Gross Profit</t>
  </si>
  <si>
    <t>Gross Profit Margin</t>
  </si>
  <si>
    <t>Net Operating Income</t>
  </si>
  <si>
    <t>Other Non-Operating Expense</t>
  </si>
  <si>
    <t>P4Y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</si>
</sst>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yyyy"/>
    <numFmt numFmtId="165" formatCode="_([$$-409]* #,##0.00_);_([$$-409]* \(#,##0.00\);_([$$-409]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164" fontId="1" fillId="0" borderId="0" xfId="0" applyNumberFormat="1" applyFont="1" applyBorder="1" applyAlignment="1">
      <alignment horizontal="center" vertical="top"/>
    </xf>
    <xf numFmtId="165" fontId="0" fillId="0" borderId="0" xfId="0" applyNumberFormat="1"/>
    <xf numFmtId="0" fontId="4" fillId="0" borderId="0" xfId="0" applyFont="1" applyBorder="1" applyAlignment="1">
      <alignment horizontal="center" vertical="top"/>
    </xf>
    <xf numFmtId="0" fontId="4" fillId="0" borderId="0" xfId="0" applyFont="1" applyBorder="1" applyAlignment="1">
      <alignment vertical="top"/>
    </xf>
    <xf numFmtId="0" fontId="5" fillId="0" borderId="0" xfId="0" applyFont="1" applyBorder="1" applyAlignment="1">
      <alignment vertical="top"/>
    </xf>
    <xf numFmtId="165" fontId="3" fillId="0" borderId="0" xfId="0" applyNumberFormat="1" applyFont="1"/>
    <xf numFmtId="165" fontId="0" fillId="0" borderId="0" xfId="0" applyNumberFormat="1" applyFont="1"/>
    <xf numFmtId="9" fontId="2" fillId="0" borderId="0" xfId="1" applyFont="1"/>
    <xf numFmtId="164" fontId="1" fillId="2" borderId="0" xfId="0" applyNumberFormat="1" applyFont="1" applyFill="1" applyBorder="1" applyAlignment="1">
      <alignment horizontal="center" vertical="top"/>
    </xf>
    <xf numFmtId="165" fontId="4" fillId="0" borderId="0" xfId="0" applyNumberFormat="1" applyFont="1" applyBorder="1" applyAlignment="1">
      <alignment vertical="top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tabSelected="1" workbookViewId="0">
      <selection activeCell="E3" sqref="E3"/>
    </sheetView>
  </sheetViews>
  <sheetFormatPr defaultRowHeight="15" x14ac:dyDescent="0.25"/>
  <cols>
    <col min="1" max="1" width="27.7109375" customWidth="1"/>
    <col min="2" max="2" width="23.5703125" customWidth="1"/>
    <col min="3" max="6" width="22.85546875" customWidth="1"/>
    <col min="8" max="11" width="20" customWidth="1"/>
    <col min="12" max="12" width="19" customWidth="1"/>
  </cols>
  <sheetData>
    <row r="1" spans="1:11" x14ac:dyDescent="0.25">
      <c r="A1" s="3" t="s">
        <v>0</v>
      </c>
      <c r="B1" s="9" t="s">
        <v>21</v>
      </c>
      <c r="C1" s="1">
        <v>45930</v>
      </c>
      <c r="D1" s="1">
        <v>45565</v>
      </c>
      <c r="E1" s="1">
        <v>45199</v>
      </c>
      <c r="F1" s="1">
        <v>44834</v>
      </c>
    </row>
    <row r="2" spans="1:11" x14ac:dyDescent="0.25">
      <c r="A2" s="4" t="s">
        <v>1</v>
      </c>
      <c r="B2" s="7">
        <f>AVERAGE(C2:F2)</f>
        <v>3517719.125</v>
      </c>
      <c r="C2" s="2">
        <v>3937368.5</v>
      </c>
      <c r="D2" s="2">
        <v>3523797.5</v>
      </c>
      <c r="E2" s="2">
        <v>3257922.5</v>
      </c>
      <c r="F2" s="2">
        <v>3351788</v>
      </c>
    </row>
    <row r="3" spans="1:11" x14ac:dyDescent="0.25">
      <c r="A3" s="4" t="s">
        <v>2</v>
      </c>
      <c r="B3" s="7">
        <f>AVERAGE(C3:F3)</f>
        <v>475442.69999999995</v>
      </c>
      <c r="C3" s="2">
        <v>499393.2</v>
      </c>
      <c r="D3" s="2">
        <v>469242</v>
      </c>
      <c r="E3" s="2">
        <v>459942</v>
      </c>
      <c r="F3" s="2">
        <v>473193.6</v>
      </c>
    </row>
    <row r="4" spans="1:11" x14ac:dyDescent="0.25">
      <c r="A4" s="4" t="s">
        <v>3</v>
      </c>
      <c r="B4" s="7">
        <f>AVERAGE(C4:F4)</f>
        <v>118860.67499999999</v>
      </c>
      <c r="C4" s="2">
        <v>124848.3</v>
      </c>
      <c r="D4" s="2">
        <v>117310.5</v>
      </c>
      <c r="E4" s="2">
        <v>114985.5</v>
      </c>
      <c r="F4" s="2">
        <v>118298.4</v>
      </c>
    </row>
    <row r="5" spans="1:11" x14ac:dyDescent="0.25">
      <c r="A5" s="5" t="s">
        <v>4</v>
      </c>
      <c r="B5" s="6">
        <f>AVERAGE(C5:F5)</f>
        <v>4112022.5</v>
      </c>
      <c r="C5" s="6">
        <f>SUM(C2:C4)</f>
        <v>4561610</v>
      </c>
      <c r="D5" s="6">
        <f t="shared" ref="D5:F5" si="0">SUM(D2:D4)</f>
        <v>4110350</v>
      </c>
      <c r="E5" s="6">
        <f t="shared" si="0"/>
        <v>3832850</v>
      </c>
      <c r="F5" s="6">
        <f t="shared" si="0"/>
        <v>3943280</v>
      </c>
    </row>
    <row r="6" spans="1:11" x14ac:dyDescent="0.25">
      <c r="A6" s="5"/>
      <c r="C6" s="6"/>
      <c r="D6" s="6"/>
      <c r="E6" s="6"/>
      <c r="F6" s="6"/>
    </row>
    <row r="7" spans="1:11" x14ac:dyDescent="0.25">
      <c r="A7" s="4" t="s">
        <v>5</v>
      </c>
      <c r="B7" s="7">
        <f t="shared" ref="B7:B13" si="1">AVERAGE(C7:F7)</f>
        <v>1477365.625</v>
      </c>
      <c r="C7" s="2">
        <v>1600200</v>
      </c>
      <c r="D7" s="2">
        <v>1500640</v>
      </c>
      <c r="E7" s="2">
        <v>1420027.5</v>
      </c>
      <c r="F7" s="2">
        <v>1388595</v>
      </c>
      <c r="H7" s="2"/>
      <c r="I7" s="2"/>
      <c r="J7" s="2"/>
      <c r="K7" s="2"/>
    </row>
    <row r="8" spans="1:11" x14ac:dyDescent="0.25">
      <c r="A8" s="4" t="s">
        <v>6</v>
      </c>
      <c r="B8" s="7">
        <f t="shared" si="1"/>
        <v>318373.125</v>
      </c>
      <c r="C8" s="2">
        <v>331440</v>
      </c>
      <c r="D8" s="2">
        <v>315528</v>
      </c>
      <c r="E8" s="2">
        <v>321205.5</v>
      </c>
      <c r="F8" s="2">
        <v>305319</v>
      </c>
      <c r="H8" s="2"/>
      <c r="I8" s="2"/>
      <c r="J8" s="2"/>
      <c r="K8" s="2"/>
    </row>
    <row r="9" spans="1:11" x14ac:dyDescent="0.25">
      <c r="A9" s="4" t="s">
        <v>7</v>
      </c>
      <c r="B9" s="7">
        <f t="shared" si="1"/>
        <v>211748.75</v>
      </c>
      <c r="C9" s="2">
        <v>220960</v>
      </c>
      <c r="D9" s="2">
        <v>210352</v>
      </c>
      <c r="E9" s="2">
        <v>214137</v>
      </c>
      <c r="F9" s="2">
        <v>201546</v>
      </c>
      <c r="H9" s="2"/>
      <c r="I9" s="2"/>
      <c r="J9" s="2"/>
      <c r="K9" s="2"/>
    </row>
    <row r="10" spans="1:11" x14ac:dyDescent="0.25">
      <c r="A10" s="5" t="s">
        <v>8</v>
      </c>
      <c r="B10" s="6">
        <f t="shared" si="1"/>
        <v>2007487.5</v>
      </c>
      <c r="C10" s="6">
        <f>SUM(C7:C9)</f>
        <v>2152600</v>
      </c>
      <c r="D10" s="6">
        <f>SUM(D7:D9)</f>
        <v>2026520</v>
      </c>
      <c r="E10" s="6">
        <f>SUM(E7:E9)</f>
        <v>1955370</v>
      </c>
      <c r="F10" s="6">
        <f>SUM(F7:F9)</f>
        <v>1895460</v>
      </c>
    </row>
    <row r="11" spans="1:11" x14ac:dyDescent="0.25">
      <c r="A11" s="5"/>
      <c r="B11" s="6"/>
      <c r="C11" s="6"/>
      <c r="D11" s="6"/>
      <c r="E11" s="6"/>
      <c r="F11" s="6"/>
    </row>
    <row r="12" spans="1:11" x14ac:dyDescent="0.25">
      <c r="A12" s="4" t="s">
        <v>17</v>
      </c>
      <c r="B12" s="7">
        <f t="shared" si="1"/>
        <v>2104535</v>
      </c>
      <c r="C12" s="7">
        <f>C5-C10</f>
        <v>2409010</v>
      </c>
      <c r="D12" s="7">
        <f>D5-D10</f>
        <v>2083830</v>
      </c>
      <c r="E12" s="7">
        <f>E5-E10</f>
        <v>1877480</v>
      </c>
      <c r="F12" s="7">
        <f>F5-F10</f>
        <v>2047820</v>
      </c>
    </row>
    <row r="13" spans="1:11" x14ac:dyDescent="0.25">
      <c r="A13" s="4" t="s">
        <v>18</v>
      </c>
      <c r="B13" s="8">
        <f t="shared" si="1"/>
        <v>0.5110586826244059</v>
      </c>
      <c r="C13" s="8">
        <f>C12/C5</f>
        <v>0.52810520846806286</v>
      </c>
      <c r="D13" s="8">
        <f>D12/D5</f>
        <v>0.50697142579099108</v>
      </c>
      <c r="E13" s="8">
        <f>E12/E5</f>
        <v>0.48983915363241454</v>
      </c>
      <c r="F13" s="8">
        <f>F12/F5</f>
        <v>0.5193189426061553</v>
      </c>
    </row>
    <row r="14" spans="1:11" x14ac:dyDescent="0.25">
      <c r="A14" s="5"/>
      <c r="C14" s="2"/>
      <c r="D14" s="2"/>
      <c r="E14" s="2"/>
      <c r="F14" s="2"/>
    </row>
    <row r="15" spans="1:11" x14ac:dyDescent="0.25">
      <c r="A15" s="4" t="s">
        <v>9</v>
      </c>
      <c r="B15" s="7">
        <f>AVERAGE(C15:F15)</f>
        <v>338715</v>
      </c>
      <c r="C15" s="2">
        <v>372906</v>
      </c>
      <c r="D15" s="2">
        <v>344802</v>
      </c>
      <c r="E15" s="2">
        <v>329082</v>
      </c>
      <c r="F15" s="2">
        <v>308070</v>
      </c>
      <c r="H15" s="2"/>
      <c r="I15" s="2"/>
      <c r="J15" s="2"/>
      <c r="K15" s="2"/>
    </row>
    <row r="16" spans="1:11" x14ac:dyDescent="0.25">
      <c r="A16" s="4" t="s">
        <v>10</v>
      </c>
      <c r="B16" s="7">
        <f>AVERAGE(C16:F16)</f>
        <v>141131.25</v>
      </c>
      <c r="C16" s="2">
        <v>155377.5</v>
      </c>
      <c r="D16" s="2">
        <v>143667.5</v>
      </c>
      <c r="E16" s="2">
        <v>137117.5</v>
      </c>
      <c r="F16" s="2">
        <v>128362.5</v>
      </c>
      <c r="H16" s="2"/>
      <c r="I16" s="2"/>
      <c r="J16" s="2"/>
      <c r="K16" s="2"/>
    </row>
    <row r="17" spans="1:11" x14ac:dyDescent="0.25">
      <c r="A17" s="4" t="s">
        <v>11</v>
      </c>
      <c r="B17" s="7">
        <f>AVERAGE(C17:F17)</f>
        <v>84678.75</v>
      </c>
      <c r="C17" s="2">
        <v>93226.5</v>
      </c>
      <c r="D17" s="2">
        <v>86200.5</v>
      </c>
      <c r="E17" s="2">
        <v>82270.5</v>
      </c>
      <c r="F17" s="2">
        <v>77017.5</v>
      </c>
      <c r="H17" s="2"/>
      <c r="I17" s="2"/>
      <c r="J17" s="2"/>
      <c r="K17" s="2"/>
    </row>
    <row r="18" spans="1:11" x14ac:dyDescent="0.25">
      <c r="A18" s="5" t="s">
        <v>12</v>
      </c>
      <c r="B18" s="7">
        <f>AVERAGE(C18:F18)</f>
        <v>564525</v>
      </c>
      <c r="C18" s="6">
        <v>621510</v>
      </c>
      <c r="D18" s="6">
        <v>574670</v>
      </c>
      <c r="E18" s="6">
        <v>548470</v>
      </c>
      <c r="F18" s="6">
        <v>513450</v>
      </c>
      <c r="H18" s="2"/>
      <c r="I18" s="2"/>
      <c r="J18" s="2"/>
      <c r="K18" s="2"/>
    </row>
    <row r="19" spans="1:11" x14ac:dyDescent="0.25">
      <c r="A19" s="5" t="s">
        <v>19</v>
      </c>
      <c r="B19" s="6">
        <f>AVERAGE(C19:F19)</f>
        <v>1540010</v>
      </c>
      <c r="C19" s="6">
        <f>C12-C18</f>
        <v>1787500</v>
      </c>
      <c r="D19" s="6">
        <f t="shared" ref="D19:F19" si="2">D12-D18</f>
        <v>1509160</v>
      </c>
      <c r="E19" s="6">
        <f t="shared" si="2"/>
        <v>1329010</v>
      </c>
      <c r="F19" s="6">
        <f t="shared" si="2"/>
        <v>1534370</v>
      </c>
    </row>
    <row r="20" spans="1:11" x14ac:dyDescent="0.25">
      <c r="A20" s="4"/>
      <c r="C20" s="2"/>
      <c r="D20" s="2"/>
      <c r="E20" s="2"/>
      <c r="F20" s="2"/>
    </row>
    <row r="21" spans="1:11" x14ac:dyDescent="0.25">
      <c r="A21" s="4" t="s">
        <v>13</v>
      </c>
      <c r="B21" s="7">
        <f>AVERAGE(C21:F21)</f>
        <v>14890</v>
      </c>
      <c r="C21" s="2">
        <v>12840</v>
      </c>
      <c r="D21" s="2">
        <v>10760</v>
      </c>
      <c r="E21" s="2">
        <v>22600</v>
      </c>
      <c r="F21" s="2">
        <v>13360</v>
      </c>
      <c r="H21" s="2"/>
      <c r="I21" s="2"/>
      <c r="J21" s="2"/>
      <c r="K21" s="2"/>
    </row>
    <row r="22" spans="1:11" x14ac:dyDescent="0.25">
      <c r="A22" s="4" t="s">
        <v>14</v>
      </c>
      <c r="B22" s="7">
        <f>AVERAGE(C22:F22)</f>
        <v>11167.5</v>
      </c>
      <c r="C22" s="2">
        <v>9630</v>
      </c>
      <c r="D22" s="2">
        <v>8070</v>
      </c>
      <c r="E22" s="2">
        <v>16950</v>
      </c>
      <c r="F22" s="2">
        <v>10020</v>
      </c>
      <c r="H22" s="2"/>
      <c r="I22" s="2"/>
      <c r="J22" s="2"/>
      <c r="K22" s="2"/>
    </row>
    <row r="23" spans="1:11" x14ac:dyDescent="0.25">
      <c r="A23" s="4" t="s">
        <v>20</v>
      </c>
      <c r="B23" s="7">
        <f>AVERAGE(C23:F23)</f>
        <v>11167.5</v>
      </c>
      <c r="C23" s="2">
        <v>9630</v>
      </c>
      <c r="D23" s="2">
        <v>8070</v>
      </c>
      <c r="E23" s="2">
        <v>16950</v>
      </c>
      <c r="F23" s="2">
        <v>10020</v>
      </c>
      <c r="H23" s="2"/>
      <c r="I23" s="2"/>
      <c r="J23" s="2"/>
      <c r="K23" s="2"/>
    </row>
    <row r="24" spans="1:11" x14ac:dyDescent="0.25">
      <c r="A24" s="5" t="s">
        <v>15</v>
      </c>
      <c r="B24" s="6">
        <f>AVERAGE(C24:F24)</f>
        <v>-7445</v>
      </c>
      <c r="C24" s="6">
        <f>C21-(C22+C23)</f>
        <v>-6420</v>
      </c>
      <c r="D24" s="6">
        <f t="shared" ref="D24:F24" si="3">D21-(D22+D23)</f>
        <v>-5380</v>
      </c>
      <c r="E24" s="6">
        <f t="shared" si="3"/>
        <v>-11300</v>
      </c>
      <c r="F24" s="6">
        <f t="shared" si="3"/>
        <v>-6680</v>
      </c>
    </row>
    <row r="26" spans="1:11" x14ac:dyDescent="0.25">
      <c r="A26" s="5" t="s">
        <v>16</v>
      </c>
      <c r="B26" s="6">
        <f>AVERAGE(C26:F26)</f>
        <v>1547455</v>
      </c>
      <c r="C26" s="6">
        <f>C19-C24</f>
        <v>1793920</v>
      </c>
      <c r="D26" s="6">
        <f t="shared" ref="D26:F26" si="4">D19-D24</f>
        <v>1514540</v>
      </c>
      <c r="E26" s="6">
        <f t="shared" si="4"/>
        <v>1340310</v>
      </c>
      <c r="F26" s="6">
        <f t="shared" si="4"/>
        <v>1541050</v>
      </c>
    </row>
  </sheetData>
  <pageMargins left="0.75" right="0.75" top="1" bottom="1" header="0.5" footer="0.5"/>
  <pageSetup orientation="portrait" r:id="rId1"/>
  <ignoredErrors>
    <ignoredError sqref="C5:F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selection activeCell="B2" sqref="B2"/>
    </sheetView>
  </sheetViews>
  <sheetFormatPr defaultRowHeight="15" x14ac:dyDescent="0.25"/>
  <cols>
    <col min="1" max="6" width="19.42578125" customWidth="1"/>
  </cols>
  <sheetData>
    <row r="1" spans="1:6" x14ac:dyDescent="0.25">
      <c r="B1" t="s">
        <v>21</v>
      </c>
      <c r="C1" s="1">
        <v>45930</v>
      </c>
      <c r="D1" s="1">
        <v>45565</v>
      </c>
      <c r="E1" s="1">
        <v>45199</v>
      </c>
      <c r="F1" s="1">
        <v>44834</v>
      </c>
    </row>
    <row r="2" spans="1:6" x14ac:dyDescent="0.25">
      <c r="A2" s="4" t="s">
        <v>1</v>
      </c>
      <c r="B2" s="10">
        <f>AVERAGE(C2:F2)</f>
        <v>2689659.375</v>
      </c>
      <c r="C2" s="2">
        <v>2900000</v>
      </c>
      <c r="D2" s="2">
        <f t="shared" ref="D2:F4" si="0">C2*0.95</f>
        <v>2755000</v>
      </c>
      <c r="E2" s="2">
        <f t="shared" si="0"/>
        <v>2617250</v>
      </c>
      <c r="F2" s="2">
        <f t="shared" si="0"/>
        <v>2486387.5</v>
      </c>
    </row>
    <row r="3" spans="1:6" x14ac:dyDescent="0.25">
      <c r="A3" s="4" t="s">
        <v>2</v>
      </c>
      <c r="B3" s="10">
        <f t="shared" ref="B3:B5" si="1">AVERAGE(C3:F3)</f>
        <v>278240.625</v>
      </c>
      <c r="C3" s="2">
        <v>300000</v>
      </c>
      <c r="D3" s="2">
        <f t="shared" si="0"/>
        <v>285000</v>
      </c>
      <c r="E3" s="2">
        <f t="shared" si="0"/>
        <v>270750</v>
      </c>
      <c r="F3" s="2">
        <f t="shared" si="0"/>
        <v>257212.5</v>
      </c>
    </row>
    <row r="4" spans="1:6" x14ac:dyDescent="0.25">
      <c r="A4" s="4" t="s">
        <v>3</v>
      </c>
      <c r="B4" s="10">
        <f t="shared" si="1"/>
        <v>46373.4375</v>
      </c>
      <c r="C4" s="2">
        <v>50000</v>
      </c>
      <c r="D4" s="2">
        <f t="shared" si="0"/>
        <v>47500</v>
      </c>
      <c r="E4" s="2">
        <f t="shared" si="0"/>
        <v>45125</v>
      </c>
      <c r="F4" s="2">
        <f t="shared" si="0"/>
        <v>42868.75</v>
      </c>
    </row>
    <row r="5" spans="1:6" x14ac:dyDescent="0.25">
      <c r="A5" s="5" t="s">
        <v>4</v>
      </c>
      <c r="B5" s="10">
        <f t="shared" si="1"/>
        <v>3014273.4375</v>
      </c>
      <c r="C5" s="2">
        <f>SUM(C2:C4)</f>
        <v>3250000</v>
      </c>
      <c r="D5" s="2">
        <f>SUM(D2:D4)</f>
        <v>3087500</v>
      </c>
      <c r="E5" s="2">
        <f>SUM(E2:E4)</f>
        <v>2933125</v>
      </c>
      <c r="F5" s="2">
        <f>SUM(F2:F4)</f>
        <v>2786468.75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actuals</vt:lpstr>
      <vt:lpstr>targets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2025-12-21T06:29:41Z</dcterms:created>
  <dcterms:modified xsi:type="dcterms:W3CDTF">2026-01-06T13:19:27Z</dcterms:modified>
</cp:coreProperties>
</file>