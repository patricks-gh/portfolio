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v\portfolio\DataEngineering\finance_reports\"/>
    </mc:Choice>
  </mc:AlternateContent>
  <bookViews>
    <workbookView xWindow="0" yWindow="0" windowWidth="38400" windowHeight="17715" activeTab="1"/>
  </bookViews>
  <sheets>
    <sheet name="actuals" sheetId="1" r:id="rId1"/>
    <sheet name="targets" sheetId="2" r:id="rId2"/>
  </sheets>
  <calcPr calcId="152511"/>
</workbook>
</file>

<file path=xl/calcChain.xml><?xml version="1.0" encoding="utf-8"?>
<calcChain xmlns="http://schemas.openxmlformats.org/spreadsheetml/2006/main">
  <c r="B3" i="2" l="1"/>
  <c r="B4" i="2"/>
  <c r="B5" i="2"/>
  <c r="B2" i="2"/>
  <c r="C5" i="2"/>
  <c r="D4" i="2"/>
  <c r="E4" i="2" s="1"/>
  <c r="F4" i="2" s="1"/>
  <c r="D3" i="2"/>
  <c r="E3" i="2" s="1"/>
  <c r="F3" i="2" s="1"/>
  <c r="D2" i="2"/>
  <c r="D5" i="2" s="1"/>
  <c r="C5" i="1"/>
  <c r="B2" i="1"/>
  <c r="B22" i="1"/>
  <c r="B21" i="1"/>
  <c r="B20" i="1"/>
  <c r="B17" i="1"/>
  <c r="B16" i="1"/>
  <c r="B15" i="1"/>
  <c r="B14" i="1"/>
  <c r="B9" i="1"/>
  <c r="B8" i="1"/>
  <c r="B7" i="1"/>
  <c r="B3" i="1"/>
  <c r="B4" i="1"/>
  <c r="D23" i="1"/>
  <c r="E23" i="1"/>
  <c r="F23" i="1"/>
  <c r="C23" i="1"/>
  <c r="B23" i="1" s="1"/>
  <c r="D10" i="1"/>
  <c r="E10" i="1"/>
  <c r="F10" i="1"/>
  <c r="C10" i="1"/>
  <c r="B10" i="1" s="1"/>
  <c r="E2" i="2" l="1"/>
  <c r="F5" i="1"/>
  <c r="E5" i="1"/>
  <c r="E11" i="1" s="1"/>
  <c r="E12" i="1" s="1"/>
  <c r="D5" i="1"/>
  <c r="D11" i="1" s="1"/>
  <c r="D12" i="1" s="1"/>
  <c r="B5" i="1"/>
  <c r="E18" i="1"/>
  <c r="E25" i="1" s="1"/>
  <c r="C11" i="1"/>
  <c r="D18" i="1"/>
  <c r="D25" i="1" s="1"/>
  <c r="F11" i="1"/>
  <c r="F2" i="2" l="1"/>
  <c r="F5" i="2" s="1"/>
  <c r="E5" i="2"/>
  <c r="F12" i="1"/>
  <c r="F18" i="1"/>
  <c r="F25" i="1" s="1"/>
  <c r="C12" i="1"/>
  <c r="B12" i="1" s="1"/>
  <c r="C18" i="1"/>
  <c r="B11" i="1"/>
  <c r="B18" i="1" l="1"/>
  <c r="C25" i="1"/>
  <c r="B25" i="1" s="1"/>
</calcChain>
</file>

<file path=xl/sharedStrings.xml><?xml version="1.0" encoding="utf-8"?>
<sst xmlns="http://schemas.openxmlformats.org/spreadsheetml/2006/main" count="27" uniqueCount="22">
  <si>
    <t>Metric</t>
  </si>
  <si>
    <t>Product Revenue</t>
  </si>
  <si>
    <t>Service Revenue</t>
  </si>
  <si>
    <t>Other Revenue</t>
  </si>
  <si>
    <t>Total Revenue</t>
  </si>
  <si>
    <t>Cost of Product Sales</t>
  </si>
  <si>
    <t>Cost of Services</t>
  </si>
  <si>
    <t>Logistics / Fulfillment</t>
  </si>
  <si>
    <t>Total COGS</t>
  </si>
  <si>
    <t>SG&amp;A</t>
  </si>
  <si>
    <t>R&amp;D</t>
  </si>
  <si>
    <t>Marketing</t>
  </si>
  <si>
    <t>Total Operating Expenses</t>
  </si>
  <si>
    <t>Interest Income</t>
  </si>
  <si>
    <t>Interest Expense</t>
  </si>
  <si>
    <t>Net Other Income</t>
  </si>
  <si>
    <t>Net Income</t>
  </si>
  <si>
    <t>Gross Profit</t>
  </si>
  <si>
    <t>Gross Profit Margin</t>
  </si>
  <si>
    <t>Net Operating Income</t>
  </si>
  <si>
    <t>Other Non-Operating Expense</t>
  </si>
  <si>
    <t>P4Y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</si>
</sst>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yyyy"/>
    <numFmt numFmtId="169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68" fontId="1" fillId="0" borderId="0" xfId="0" applyNumberFormat="1" applyFont="1" applyBorder="1" applyAlignment="1">
      <alignment horizontal="center" vertical="top"/>
    </xf>
    <xf numFmtId="169" fontId="0" fillId="0" borderId="0" xfId="0" applyNumberFormat="1"/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169" fontId="3" fillId="0" borderId="0" xfId="0" applyNumberFormat="1" applyFont="1"/>
    <xf numFmtId="169" fontId="0" fillId="0" borderId="0" xfId="0" applyNumberFormat="1" applyFont="1"/>
    <xf numFmtId="9" fontId="2" fillId="0" borderId="0" xfId="1" applyFont="1"/>
    <xf numFmtId="168" fontId="1" fillId="2" borderId="0" xfId="0" applyNumberFormat="1" applyFont="1" applyFill="1" applyBorder="1" applyAlignment="1">
      <alignment horizontal="center" vertical="top"/>
    </xf>
    <xf numFmtId="169" fontId="4" fillId="0" borderId="0" xfId="0" applyNumberFormat="1" applyFont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D20" sqref="D20"/>
    </sheetView>
  </sheetViews>
  <sheetFormatPr defaultRowHeight="15" x14ac:dyDescent="0.25"/>
  <cols>
    <col min="1" max="1" width="27.7109375" customWidth="1"/>
    <col min="2" max="2" width="23.5703125" customWidth="1"/>
    <col min="3" max="6" width="22.85546875" customWidth="1"/>
    <col min="8" max="11" width="20" customWidth="1"/>
    <col min="12" max="12" width="19" customWidth="1"/>
  </cols>
  <sheetData>
    <row r="1" spans="1:11" x14ac:dyDescent="0.25">
      <c r="A1" s="3" t="s">
        <v>0</v>
      </c>
      <c r="B1" s="9" t="s">
        <v>21</v>
      </c>
      <c r="C1" s="1">
        <v>45930</v>
      </c>
      <c r="D1" s="1">
        <v>45565</v>
      </c>
      <c r="E1" s="1">
        <v>45199</v>
      </c>
      <c r="F1" s="1">
        <v>44834</v>
      </c>
    </row>
    <row r="2" spans="1:11" x14ac:dyDescent="0.25">
      <c r="A2" s="4" t="s">
        <v>1</v>
      </c>
      <c r="B2" s="7">
        <f>AVERAGE(C2:F2)</f>
        <v>3367719.125</v>
      </c>
      <c r="C2" s="2">
        <v>3537368.5</v>
      </c>
      <c r="D2" s="2">
        <v>3323797.5</v>
      </c>
      <c r="E2" s="2">
        <v>3257922.5</v>
      </c>
      <c r="F2" s="2">
        <v>3351788</v>
      </c>
    </row>
    <row r="3" spans="1:11" x14ac:dyDescent="0.25">
      <c r="A3" s="4" t="s">
        <v>2</v>
      </c>
      <c r="B3" s="7">
        <f>AVERAGE(C3:F3)</f>
        <v>475442.69999999995</v>
      </c>
      <c r="C3" s="2">
        <v>499393.2</v>
      </c>
      <c r="D3" s="2">
        <v>469242</v>
      </c>
      <c r="E3" s="2">
        <v>459942</v>
      </c>
      <c r="F3" s="2">
        <v>473193.6</v>
      </c>
    </row>
    <row r="4" spans="1:11" x14ac:dyDescent="0.25">
      <c r="A4" s="4" t="s">
        <v>3</v>
      </c>
      <c r="B4" s="7">
        <f>AVERAGE(C4:F4)</f>
        <v>118860.67499999999</v>
      </c>
      <c r="C4" s="2">
        <v>124848.3</v>
      </c>
      <c r="D4" s="2">
        <v>117310.5</v>
      </c>
      <c r="E4" s="2">
        <v>114985.5</v>
      </c>
      <c r="F4" s="2">
        <v>118298.4</v>
      </c>
    </row>
    <row r="5" spans="1:11" x14ac:dyDescent="0.25">
      <c r="A5" s="5" t="s">
        <v>4</v>
      </c>
      <c r="B5" s="6">
        <f>AVERAGE(C5:F5)</f>
        <v>3962022.5</v>
      </c>
      <c r="C5" s="6">
        <f>SUM(C2:C4)</f>
        <v>4161610</v>
      </c>
      <c r="D5" s="6">
        <f t="shared" ref="D5:F5" si="0">SUM(D2:D4)</f>
        <v>3910350</v>
      </c>
      <c r="E5" s="6">
        <f t="shared" si="0"/>
        <v>3832850</v>
      </c>
      <c r="F5" s="6">
        <f t="shared" si="0"/>
        <v>3943280</v>
      </c>
    </row>
    <row r="6" spans="1:11" x14ac:dyDescent="0.25">
      <c r="A6" s="5"/>
      <c r="C6" s="6"/>
      <c r="D6" s="6"/>
      <c r="E6" s="6"/>
      <c r="F6" s="6"/>
    </row>
    <row r="7" spans="1:11" x14ac:dyDescent="0.25">
      <c r="A7" s="4" t="s">
        <v>5</v>
      </c>
      <c r="B7" s="7">
        <f>AVERAGE(C7:F7)</f>
        <v>1629365.625</v>
      </c>
      <c r="C7" s="2">
        <v>1657200</v>
      </c>
      <c r="D7" s="2">
        <v>1577640</v>
      </c>
      <c r="E7" s="2">
        <v>1606027.5</v>
      </c>
      <c r="F7" s="2">
        <v>1676595</v>
      </c>
      <c r="H7" s="2"/>
      <c r="I7" s="2"/>
      <c r="J7" s="2"/>
      <c r="K7" s="2"/>
    </row>
    <row r="8" spans="1:11" x14ac:dyDescent="0.25">
      <c r="A8" s="4" t="s">
        <v>6</v>
      </c>
      <c r="B8" s="7">
        <f>AVERAGE(C8:F8)</f>
        <v>325873.125</v>
      </c>
      <c r="C8" s="2">
        <v>331440</v>
      </c>
      <c r="D8" s="2">
        <v>315528</v>
      </c>
      <c r="E8" s="2">
        <v>321205.5</v>
      </c>
      <c r="F8" s="2">
        <v>335319</v>
      </c>
      <c r="H8" s="2"/>
      <c r="I8" s="2"/>
      <c r="J8" s="2"/>
      <c r="K8" s="2"/>
    </row>
    <row r="9" spans="1:11" x14ac:dyDescent="0.25">
      <c r="A9" s="4" t="s">
        <v>7</v>
      </c>
      <c r="B9" s="7">
        <f>AVERAGE(C9:F9)</f>
        <v>217248.75</v>
      </c>
      <c r="C9" s="2">
        <v>220960</v>
      </c>
      <c r="D9" s="2">
        <v>210352</v>
      </c>
      <c r="E9" s="2">
        <v>214137</v>
      </c>
      <c r="F9" s="2">
        <v>223546</v>
      </c>
      <c r="H9" s="2"/>
      <c r="I9" s="2"/>
      <c r="J9" s="2"/>
      <c r="K9" s="2"/>
    </row>
    <row r="10" spans="1:11" x14ac:dyDescent="0.25">
      <c r="A10" s="5" t="s">
        <v>8</v>
      </c>
      <c r="B10" s="6">
        <f>AVERAGE(C10:F10)</f>
        <v>2172487.5</v>
      </c>
      <c r="C10" s="6">
        <f>SUM(C7:C9)</f>
        <v>2209600</v>
      </c>
      <c r="D10" s="6">
        <f t="shared" ref="D10:F10" si="1">SUM(D7:D9)</f>
        <v>2103520</v>
      </c>
      <c r="E10" s="6">
        <f t="shared" si="1"/>
        <v>2141370</v>
      </c>
      <c r="F10" s="6">
        <f t="shared" si="1"/>
        <v>2235460</v>
      </c>
    </row>
    <row r="11" spans="1:11" x14ac:dyDescent="0.25">
      <c r="A11" s="4" t="s">
        <v>17</v>
      </c>
      <c r="B11" s="6">
        <f>AVERAGE(C11:F11)</f>
        <v>1789535</v>
      </c>
      <c r="C11" s="7">
        <f>C5-C10</f>
        <v>1952010</v>
      </c>
      <c r="D11" s="7">
        <f t="shared" ref="D11:F11" si="2">D5-D10</f>
        <v>1806830</v>
      </c>
      <c r="E11" s="7">
        <f t="shared" si="2"/>
        <v>1691480</v>
      </c>
      <c r="F11" s="7">
        <f t="shared" si="2"/>
        <v>1707820</v>
      </c>
    </row>
    <row r="12" spans="1:11" x14ac:dyDescent="0.25">
      <c r="A12" s="4" t="s">
        <v>18</v>
      </c>
      <c r="B12" s="8">
        <f>AVERAGE(C12:F12)</f>
        <v>0.45138068515240509</v>
      </c>
      <c r="C12" s="8">
        <f>C11/C5</f>
        <v>0.46905164107160452</v>
      </c>
      <c r="D12" s="8">
        <f t="shared" ref="D12:F12" si="3">D11/D5</f>
        <v>0.46206349815233932</v>
      </c>
      <c r="E12" s="8">
        <f t="shared" si="3"/>
        <v>0.44131129577207562</v>
      </c>
      <c r="F12" s="8">
        <f t="shared" si="3"/>
        <v>0.43309630561360085</v>
      </c>
    </row>
    <row r="13" spans="1:11" x14ac:dyDescent="0.25">
      <c r="A13" s="5"/>
      <c r="C13" s="2"/>
      <c r="D13" s="2"/>
      <c r="E13" s="2"/>
      <c r="F13" s="2"/>
    </row>
    <row r="14" spans="1:11" x14ac:dyDescent="0.25">
      <c r="A14" s="4" t="s">
        <v>9</v>
      </c>
      <c r="B14" s="7">
        <f>AVERAGE(C14:F14)</f>
        <v>338715</v>
      </c>
      <c r="C14" s="2">
        <v>372906</v>
      </c>
      <c r="D14" s="2">
        <v>344802</v>
      </c>
      <c r="E14" s="2">
        <v>329082</v>
      </c>
      <c r="F14" s="2">
        <v>308070</v>
      </c>
      <c r="H14" s="2"/>
      <c r="I14" s="2"/>
      <c r="J14" s="2"/>
      <c r="K14" s="2"/>
    </row>
    <row r="15" spans="1:11" x14ac:dyDescent="0.25">
      <c r="A15" s="4" t="s">
        <v>10</v>
      </c>
      <c r="B15" s="7">
        <f>AVERAGE(C15:F15)</f>
        <v>141131.25</v>
      </c>
      <c r="C15" s="2">
        <v>155377.5</v>
      </c>
      <c r="D15" s="2">
        <v>143667.5</v>
      </c>
      <c r="E15" s="2">
        <v>137117.5</v>
      </c>
      <c r="F15" s="2">
        <v>128362.5</v>
      </c>
      <c r="H15" s="2"/>
      <c r="I15" s="2"/>
      <c r="J15" s="2"/>
      <c r="K15" s="2"/>
    </row>
    <row r="16" spans="1:11" x14ac:dyDescent="0.25">
      <c r="A16" s="4" t="s">
        <v>11</v>
      </c>
      <c r="B16" s="7">
        <f>AVERAGE(C16:F16)</f>
        <v>84678.75</v>
      </c>
      <c r="C16" s="2">
        <v>93226.5</v>
      </c>
      <c r="D16" s="2">
        <v>86200.5</v>
      </c>
      <c r="E16" s="2">
        <v>82270.5</v>
      </c>
      <c r="F16" s="2">
        <v>77017.5</v>
      </c>
      <c r="H16" s="2"/>
      <c r="I16" s="2"/>
      <c r="J16" s="2"/>
      <c r="K16" s="2"/>
    </row>
    <row r="17" spans="1:11" x14ac:dyDescent="0.25">
      <c r="A17" s="5" t="s">
        <v>12</v>
      </c>
      <c r="B17" s="7">
        <f>AVERAGE(C17:F17)</f>
        <v>564525</v>
      </c>
      <c r="C17" s="6">
        <v>621510</v>
      </c>
      <c r="D17" s="6">
        <v>574670</v>
      </c>
      <c r="E17" s="6">
        <v>548470</v>
      </c>
      <c r="F17" s="6">
        <v>513450</v>
      </c>
      <c r="H17" s="2"/>
      <c r="I17" s="2"/>
      <c r="J17" s="2"/>
      <c r="K17" s="2"/>
    </row>
    <row r="18" spans="1:11" x14ac:dyDescent="0.25">
      <c r="A18" s="5" t="s">
        <v>19</v>
      </c>
      <c r="B18" s="6">
        <f>AVERAGE(C18:F18)</f>
        <v>1225010</v>
      </c>
      <c r="C18" s="6">
        <f>C11-C17</f>
        <v>1330500</v>
      </c>
      <c r="D18" s="6">
        <f t="shared" ref="D18:F18" si="4">D11-D17</f>
        <v>1232160</v>
      </c>
      <c r="E18" s="6">
        <f t="shared" si="4"/>
        <v>1143010</v>
      </c>
      <c r="F18" s="6">
        <f t="shared" si="4"/>
        <v>1194370</v>
      </c>
    </row>
    <row r="19" spans="1:11" x14ac:dyDescent="0.25">
      <c r="A19" s="4"/>
      <c r="C19" s="2"/>
      <c r="D19" s="2"/>
      <c r="E19" s="2"/>
      <c r="F19" s="2"/>
    </row>
    <row r="20" spans="1:11" x14ac:dyDescent="0.25">
      <c r="A20" s="4" t="s">
        <v>13</v>
      </c>
      <c r="B20" s="7">
        <f>AVERAGE(C20:F20)</f>
        <v>14890</v>
      </c>
      <c r="C20" s="2">
        <v>12840</v>
      </c>
      <c r="D20" s="2">
        <v>10760</v>
      </c>
      <c r="E20" s="2">
        <v>22600</v>
      </c>
      <c r="F20" s="2">
        <v>13360</v>
      </c>
      <c r="H20" s="2"/>
      <c r="I20" s="2"/>
      <c r="J20" s="2"/>
      <c r="K20" s="2"/>
    </row>
    <row r="21" spans="1:11" x14ac:dyDescent="0.25">
      <c r="A21" s="4" t="s">
        <v>14</v>
      </c>
      <c r="B21" s="7">
        <f>AVERAGE(C21:F21)</f>
        <v>11167.5</v>
      </c>
      <c r="C21" s="2">
        <v>9630</v>
      </c>
      <c r="D21" s="2">
        <v>8070</v>
      </c>
      <c r="E21" s="2">
        <v>16950</v>
      </c>
      <c r="F21" s="2">
        <v>10020</v>
      </c>
      <c r="H21" s="2"/>
      <c r="I21" s="2"/>
      <c r="J21" s="2"/>
      <c r="K21" s="2"/>
    </row>
    <row r="22" spans="1:11" x14ac:dyDescent="0.25">
      <c r="A22" s="4" t="s">
        <v>20</v>
      </c>
      <c r="B22" s="7">
        <f>AVERAGE(C22:F22)</f>
        <v>11167.5</v>
      </c>
      <c r="C22" s="2">
        <v>9630</v>
      </c>
      <c r="D22" s="2">
        <v>8070</v>
      </c>
      <c r="E22" s="2">
        <v>16950</v>
      </c>
      <c r="F22" s="2">
        <v>10020</v>
      </c>
      <c r="H22" s="2"/>
      <c r="I22" s="2"/>
      <c r="J22" s="2"/>
      <c r="K22" s="2"/>
    </row>
    <row r="23" spans="1:11" x14ac:dyDescent="0.25">
      <c r="A23" s="5" t="s">
        <v>15</v>
      </c>
      <c r="B23" s="6">
        <f>AVERAGE(C23:F23)</f>
        <v>-7445</v>
      </c>
      <c r="C23" s="6">
        <f>C20-(C21+C22)</f>
        <v>-6420</v>
      </c>
      <c r="D23" s="6">
        <f t="shared" ref="D23:F23" si="5">D20-(D21+D22)</f>
        <v>-5380</v>
      </c>
      <c r="E23" s="6">
        <f t="shared" si="5"/>
        <v>-11300</v>
      </c>
      <c r="F23" s="6">
        <f t="shared" si="5"/>
        <v>-6680</v>
      </c>
    </row>
    <row r="25" spans="1:11" x14ac:dyDescent="0.25">
      <c r="A25" s="5" t="s">
        <v>16</v>
      </c>
      <c r="B25" s="6">
        <f>AVERAGE(C25:F25)</f>
        <v>1232455</v>
      </c>
      <c r="C25" s="6">
        <f>C18-C23</f>
        <v>1336920</v>
      </c>
      <c r="D25" s="6">
        <f t="shared" ref="D25:F25" si="6">D18-D23</f>
        <v>1237540</v>
      </c>
      <c r="E25" s="6">
        <f t="shared" si="6"/>
        <v>1154310</v>
      </c>
      <c r="F25" s="6">
        <f t="shared" si="6"/>
        <v>1201050</v>
      </c>
    </row>
  </sheetData>
  <pageMargins left="0.75" right="0.75" top="1" bottom="1" header="0.5" footer="0.5"/>
  <pageSetup orientation="portrait" r:id="rId1"/>
  <ignoredErrors>
    <ignoredError sqref="C5:F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2" sqref="B2"/>
    </sheetView>
  </sheetViews>
  <sheetFormatPr defaultRowHeight="15" x14ac:dyDescent="0.25"/>
  <cols>
    <col min="1" max="6" width="19.42578125" customWidth="1"/>
  </cols>
  <sheetData>
    <row r="1" spans="1:6" x14ac:dyDescent="0.25">
      <c r="B1" t="s">
        <v>21</v>
      </c>
      <c r="C1" s="1">
        <v>45930</v>
      </c>
      <c r="D1" s="1">
        <v>45565</v>
      </c>
      <c r="E1" s="1">
        <v>45199</v>
      </c>
      <c r="F1" s="1">
        <v>44834</v>
      </c>
    </row>
    <row r="2" spans="1:6" x14ac:dyDescent="0.25">
      <c r="A2" s="4" t="s">
        <v>1</v>
      </c>
      <c r="B2" s="10">
        <f>AVERAGE(C2:F2)</f>
        <v>2689659.375</v>
      </c>
      <c r="C2" s="2">
        <v>2900000</v>
      </c>
      <c r="D2" s="2">
        <f>C2*0.95</f>
        <v>2755000</v>
      </c>
      <c r="E2" s="2">
        <f>D2*0.95</f>
        <v>2617250</v>
      </c>
      <c r="F2" s="2">
        <f>E2*0.95</f>
        <v>2486387.5</v>
      </c>
    </row>
    <row r="3" spans="1:6" x14ac:dyDescent="0.25">
      <c r="A3" s="4" t="s">
        <v>2</v>
      </c>
      <c r="B3" s="10">
        <f t="shared" ref="B3:B5" si="0">AVERAGE(C3:F3)</f>
        <v>278240.625</v>
      </c>
      <c r="C3" s="2">
        <v>300000</v>
      </c>
      <c r="D3" s="2">
        <f>C3*0.95</f>
        <v>285000</v>
      </c>
      <c r="E3" s="2">
        <f>D3*0.95</f>
        <v>270750</v>
      </c>
      <c r="F3" s="2">
        <f>E3*0.95</f>
        <v>257212.5</v>
      </c>
    </row>
    <row r="4" spans="1:6" x14ac:dyDescent="0.25">
      <c r="A4" s="4" t="s">
        <v>3</v>
      </c>
      <c r="B4" s="10">
        <f t="shared" si="0"/>
        <v>46373.4375</v>
      </c>
      <c r="C4" s="2">
        <v>50000</v>
      </c>
      <c r="D4" s="2">
        <f>C4*0.95</f>
        <v>47500</v>
      </c>
      <c r="E4" s="2">
        <f>D4*0.95</f>
        <v>45125</v>
      </c>
      <c r="F4" s="2">
        <f>E4*0.95</f>
        <v>42868.75</v>
      </c>
    </row>
    <row r="5" spans="1:6" x14ac:dyDescent="0.25">
      <c r="A5" s="5" t="s">
        <v>4</v>
      </c>
      <c r="B5" s="10">
        <f t="shared" si="0"/>
        <v>3014273.4375</v>
      </c>
      <c r="C5" s="2">
        <f>SUM(C2:C4)</f>
        <v>3250000</v>
      </c>
      <c r="D5" s="2">
        <f>SUM(D2:D4)</f>
        <v>3087500</v>
      </c>
      <c r="E5" s="2">
        <f>SUM(E2:E4)</f>
        <v>2933125</v>
      </c>
      <c r="F5" s="2">
        <f>SUM(F2:F4)</f>
        <v>2786468.75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</vt:lpstr>
      <vt:lpstr>targets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2025-12-21T06:29:41Z</dcterms:created>
  <dcterms:modified xsi:type="dcterms:W3CDTF">2025-12-21T10:33:32Z</dcterms:modified>
</cp:coreProperties>
</file>